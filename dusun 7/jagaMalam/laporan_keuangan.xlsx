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eptember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<sst xmlns="http://schemas.openxmlformats.org/spreadsheetml/2006/main" count="16" uniqueCount="16">
  <si>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Tanggal</t>
  </si>
  <si>
    <t>Keterangan</t>
  </si>
  <si>
    <t>transaksi</t>
  </si>
  <si>
    <t>saldo</t>
  </si>
  <si>
    <t>masuk</t>
  </si>
  <si>
    <t>keluar</t>
  </si>
  <si>
    <t xml:space="preserve">iuran warga  bulan September</t>
  </si>
  <si>
    <t xml:space="preserve">rt 28</t>
  </si>
  <si>
    <t xml:space="preserve">rt 29</t>
  </si>
  <si>
    <t xml:space="preserve">rt 30</t>
  </si>
  <si>
    <t xml:space="preserve">rt 31</t>
  </si>
  <si>
    <t xml:space="preserve">honor petugas jaga malam</t>
  </si>
  <si>
    <t xml:space="preserve">M . Zaini</t>
  </si>
  <si>
    <t xml:space="preserve">Kusmidi Agustian</t>
  </si>
  <si>
    <t xml:space="preserve">Lubis suprapto,S.Pd</t>
  </si>
  <si>
    <t xml:space="preserve">Fahrul Hadi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</si>
</sst>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[$Rp-21]* #,##0_-;&quot;-&quot;[$Rp-21]* #,##0_-;_-[$Rp-21]* &quot;-&quot;??_-;_-@_-"/>
    <numFmt numFmtId="165" formatCode="_-[$Rp-21]* #,##0_-;\-[$Rp-21]* #,##0_-;_-[$Rp-21]* &quot;-&quot;_-;_-@_-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0" fillId="0" borderId="0" numFmtId="15" xfId="0" applyNumberFormat="1"/>
    <xf fontId="0" fillId="0" borderId="0" numFmtId="164" xfId="0" applyNumberFormat="1"/>
    <xf fontId="0" fillId="0" borderId="0" numFmtId="165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customWidth="1" min="2" max="2" width="29.00390625"/>
    <col customWidth="1" min="3" max="3" width="16.57421875"/>
    <col customWidth="1" min="4" max="4" width="15.7109375"/>
    <col customWidth="1" min="5" max="5" width="17.140625"/>
  </cols>
  <sheetData>
    <row r="1" ht="14.25">
      <c r="A1" s="1" t="s">
        <v>0</v>
      </c>
      <c r="B1" s="2" t="s">
        <v>1</v>
      </c>
      <c r="C1" s="1" t="s">
        <v>2</v>
      </c>
      <c r="D1" s="1"/>
      <c r="E1" s="1" t="s">
        <v>3</v>
      </c>
    </row>
    <row r="2" ht="14.25">
      <c r="A2" s="1"/>
      <c r="B2" s="2"/>
      <c r="C2" s="3" t="s">
        <v>4</v>
      </c>
      <c r="D2" s="3" t="s">
        <v>5</v>
      </c>
      <c r="E2" s="1"/>
    </row>
    <row r="3" ht="14.25">
      <c r="B3" t="s">
        <v>6</v>
      </c>
      <c r="E3">
        <f>IF(COUNT(C3:D3)=0,0,C3-D3)</f>
        <v>0</v>
      </c>
    </row>
    <row r="4" ht="14.25">
      <c r="A4" s="4">
        <v>46294</v>
      </c>
      <c r="B4" t="s">
        <v>7</v>
      </c>
      <c r="C4" s="5">
        <v>510000</v>
      </c>
      <c r="D4" s="6"/>
      <c r="E4" s="5">
        <f>IF(COUNT(C4:D4)=0,E3,E3+C4-D4)</f>
        <v>510000</v>
      </c>
    </row>
    <row r="5" ht="14.25">
      <c r="B5" s="7"/>
      <c r="C5" s="5"/>
      <c r="D5" s="6"/>
      <c r="E5" s="5">
        <f>IF(COUNT(C5:D5)=0,E4,E4+C5-D5)</f>
        <v>510000</v>
      </c>
    </row>
    <row r="6" ht="14.25">
      <c r="B6" s="7" t="s">
        <v>8</v>
      </c>
      <c r="C6" s="5">
        <v>550000</v>
      </c>
      <c r="D6" s="6"/>
      <c r="E6" s="5">
        <f>IF(COUNT(C6:D6)=0,E5,E5+C6-D6)</f>
        <v>1060000</v>
      </c>
    </row>
    <row r="7" ht="14.25">
      <c r="B7" s="7"/>
      <c r="C7" s="5"/>
      <c r="D7" s="6"/>
      <c r="E7" s="5">
        <f>IF(COUNT(C7:D7)=0,E6,E6+C7-D7)</f>
        <v>1060000</v>
      </c>
    </row>
    <row r="8" ht="14.25">
      <c r="B8" t="s">
        <v>9</v>
      </c>
      <c r="C8" s="5">
        <v>520000</v>
      </c>
      <c r="D8" s="6"/>
      <c r="E8" s="5">
        <f>IF(COUNT(C8:D8)=0,E7,E7+C8-D8)</f>
        <v>1580000</v>
      </c>
    </row>
    <row r="9" ht="14.25">
      <c r="C9" s="5"/>
      <c r="D9" s="6"/>
      <c r="E9" s="5">
        <f>IF(COUNT(C9:D9)=0,E8,E8+C9-D9)</f>
        <v>1580000</v>
      </c>
    </row>
    <row r="10" ht="14.25">
      <c r="B10" t="s">
        <v>10</v>
      </c>
      <c r="C10" s="5">
        <v>520000</v>
      </c>
      <c r="D10" s="6"/>
      <c r="E10" s="5">
        <f>IF(COUNT(C10:D10)=0,E9,E9+C10-D10)</f>
        <v>2100000</v>
      </c>
    </row>
    <row r="11" ht="14.25">
      <c r="C11" s="5"/>
      <c r="D11" s="6"/>
      <c r="E11" s="5">
        <f>IF(COUNT(C11:D11)=0,E10,E10+C11-D11)</f>
        <v>2100000</v>
      </c>
    </row>
    <row r="12" ht="14.25">
      <c r="C12" s="5"/>
      <c r="D12" s="6"/>
      <c r="E12" s="5">
        <f>IF(COUNT(C12:D12)=0,E11,E11+C12-D12)</f>
        <v>2100000</v>
      </c>
    </row>
    <row r="13" ht="14.25">
      <c r="A13" s="4">
        <v>46300</v>
      </c>
      <c r="B13" t="s">
        <v>11</v>
      </c>
      <c r="C13" s="5"/>
      <c r="D13" s="6"/>
      <c r="E13" s="5">
        <f>IF(COUNT(C13:D13)=0,E12,E12+C13-D13)</f>
        <v>2100000</v>
      </c>
    </row>
    <row r="14" ht="14.25">
      <c r="B14" t="s">
        <v>12</v>
      </c>
      <c r="C14" s="5"/>
      <c r="D14" s="6">
        <v>525000</v>
      </c>
      <c r="E14" s="5">
        <f>IF(COUNT(C14:D14)=0,E13,E13+C14-D14)</f>
        <v>1575000</v>
      </c>
    </row>
    <row r="15" ht="14.25">
      <c r="C15" s="5"/>
      <c r="D15" s="6"/>
      <c r="E15" s="5">
        <f>IF(COUNT(C15:D15)=0,E14,E14+C15-D15)</f>
        <v>1575000</v>
      </c>
    </row>
    <row r="16" ht="14.25">
      <c r="B16" t="s">
        <v>13</v>
      </c>
      <c r="C16" s="5"/>
      <c r="D16" s="6">
        <v>525000</v>
      </c>
      <c r="E16" s="5">
        <f>IF(COUNT(C16:D16)=0,E15,E15+C16-D16)</f>
        <v>1050000</v>
      </c>
    </row>
    <row r="17" ht="14.25">
      <c r="C17" s="5"/>
      <c r="D17" s="6"/>
      <c r="E17" s="5">
        <f>IF(COUNT(C17:D17)=0,E16,E16+C17-D17)</f>
        <v>1050000</v>
      </c>
    </row>
    <row r="18" ht="14.25">
      <c r="B18" t="s">
        <v>14</v>
      </c>
      <c r="C18" s="5"/>
      <c r="D18" s="6">
        <v>525000</v>
      </c>
      <c r="E18" s="5">
        <f>IF(COUNT(C18:D18)=0,E17,E17+C18-D18)</f>
        <v>525000</v>
      </c>
    </row>
    <row r="19" ht="14.25">
      <c r="C19" s="5"/>
      <c r="D19" s="6"/>
      <c r="E19" s="5">
        <f>IF(COUNT(C19:D19)=0,E18,E18+C19-D19)</f>
        <v>525000</v>
      </c>
    </row>
    <row r="20" ht="14.25">
      <c r="B20" t="s">
        <v>15</v>
      </c>
      <c r="D20" s="6">
        <v>525000</v>
      </c>
      <c r="E20" s="5">
        <f>IF(COUNT(C20:D20)=0,E19,E19+C20-D20)</f>
        <v>0</v>
      </c>
    </row>
    <row r="21" ht="14.25">
      <c r="C21">
        <v>100000</v>
      </c>
      <c r="D21" s="6"/>
      <c r="E21" s="5">
        <f>IF(COUNT(C21:D21)=0,E20,E20+C21-D21)</f>
        <v>100000</v>
      </c>
    </row>
    <row r="22" ht="14.25">
      <c r="C22">
        <v>50000</v>
      </c>
      <c r="D22" s="6"/>
      <c r="E22" s="5">
        <f>IF(COUNT(C22:D22)=0,E21,E21+C22-D22)</f>
        <v>150000</v>
      </c>
    </row>
    <row r="23" ht="14.25">
      <c r="D23" s="6">
        <v>100000</v>
      </c>
      <c r="E23" s="5">
        <f>IF(COUNT(C23:D23)=0,E22,E22+C23-D23)</f>
        <v>50000</v>
      </c>
    </row>
    <row r="24" ht="14.25">
      <c r="C24" s="5">
        <f>SUM(C4:C23)</f>
        <v>2250000</v>
      </c>
      <c r="D24" s="5">
        <f>SUM(D3:D23)</f>
        <v>2200000</v>
      </c>
      <c r="E24" s="5">
        <f>C24-D24</f>
        <v>50000</v>
      </c>
    </row>
  </sheetData>
  <mergeCells count="3">
    <mergeCell ref="A1:A2"/>
    <mergeCell ref="C1:D1"/>
    <mergeCell ref="E1:E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2026-09-30T10:41:34Z</dcterms:modified>
</cp:coreProperties>
</file>